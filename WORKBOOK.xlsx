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710" activeTab="2"/>
  </bookViews>
  <sheets>
    <sheet name="Read Me" sheetId="1" r:id="rId1"/>
    <sheet name="Team" sheetId="2" r:id="rId2"/>
    <sheet name="Data" sheetId="3" r:id="rId3"/>
    <sheet name="Chart counts" sheetId="4" r:id="rId4"/>
    <sheet name="Vocabularie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<sst xmlns="http://schemas.openxmlformats.org/spreadsheetml/2006/main" count="292" uniqueCount="168">
  <si>
    <t>Judgment Content Analysis · Dataset template</t>
  </si>
  <si>
    <t>How to use this file</t>
  </si>
  <si>
    <t>1. Fill the Team sheet.</t>
  </si>
  <si>
    <t>2. In the Data sheet, enter one row per judgment starting at row 6. Row 5 is a made-up example showing the format; leave it as it is.</t>
  </si>
  <si>
    <t>3. Pale yellow cells are yours to fill. Dropdown columns accept only the listed values (see the Vocabularies sheet). Do not add, delete or reorder columns.</t>
  </si>
  <si>
    <t>4. When done, rename this file data.xlsx. Also save the Data sheet as data.csv (File &gt; Save As &gt; CSV). Upload both to your GitHub repository.</t>
  </si>
  <si>
    <t>5. Read the Option 2 Guide for the column meanings, the charts, GitHub steps and the README.</t>
  </si>
  <si>
    <t>Team information</t>
  </si>
  <si>
    <t>Topic</t>
  </si>
  <si>
    <t>Non-Compoundable Criminal Proceedings from Matrimonial Disputes</t>
  </si>
  <si>
    <t>Court</t>
  </si>
  <si>
    <t>Bombay High Court</t>
  </si>
  <si>
    <t>Team name</t>
  </si>
  <si>
    <t>Legal Eagles</t>
  </si>
  <si>
    <t>GitHub repository link</t>
  </si>
  <si>
    <t>Member 1 · name and section</t>
  </si>
  <si>
    <t>Sidhhant Saini, Division- C</t>
  </si>
  <si>
    <t>Member 2 · name and section</t>
  </si>
  <si>
    <t>Tamanna, Division- C</t>
  </si>
  <si>
    <t>Member 3 · name and section (if any)</t>
  </si>
  <si>
    <t>Hemanya Sharma, Division- C</t>
  </si>
  <si>
    <t>Member 4 · name and section (if any)</t>
  </si>
  <si>
    <t>Kratika Gupta, Division- C</t>
  </si>
  <si>
    <t>Date completed (DD-MM-YYYY)</t>
  </si>
  <si>
    <t>23rd October, 2026</t>
  </si>
  <si>
    <t>Data · one row per judgment</t>
  </si>
  <si>
    <t>Row 5 is a made-up example. Your judgments start at row 6. Enter 10 to 20 judgments decided between 01-09-2021 and 31-08-2026. See the Option 2 Guide, section 4.</t>
  </si>
  <si>
    <t>#</t>
  </si>
  <si>
    <t>Case name</t>
  </si>
  <si>
    <t>Citation or case number</t>
  </si>
  <si>
    <t>Date of decision (DD-MM-YYYY)</t>
  </si>
  <si>
    <t>Year</t>
  </si>
  <si>
    <t>Bench strength</t>
  </si>
  <si>
    <t>Type of case</t>
  </si>
  <si>
    <t>Who brought the case</t>
  </si>
  <si>
    <t>Outcome</t>
  </si>
  <si>
    <t>Who won</t>
  </si>
  <si>
    <t>Main provision</t>
  </si>
  <si>
    <t>Issue in one line</t>
  </si>
  <si>
    <t>Holding in one line</t>
  </si>
  <si>
    <t>Precedent chiefly relied on</t>
  </si>
  <si>
    <t>Source link (official copy)</t>
  </si>
  <si>
    <t>Coded by</t>
  </si>
  <si>
    <t>EX</t>
  </si>
  <si>
    <t>Example Petitioner v. State of Maharashtra (made-up)</t>
  </si>
  <si>
    <t>2024 INSC 000 (made-up)</t>
  </si>
  <si>
    <t>15-03-2024</t>
  </si>
  <si>
    <t>Criminal appeal</t>
  </si>
  <si>
    <t>Individual</t>
  </si>
  <si>
    <t>Allowed</t>
  </si>
  <si>
    <t>s 438 CrPC</t>
  </si>
  <si>
    <t>Whether anticipatory bail can be limited to a fixed period.</t>
  </si>
  <si>
    <t>Bail granted; protection ordinarily lasts till the end of trial.</t>
  </si>
  <si>
    <t>Sushila Aggarwal v. State (NCT of Delhi)</t>
  </si>
  <si>
    <t>https://www.sci.gov.in/judgements/ (made-up)</t>
  </si>
  <si>
    <t>A. Deshmukh</t>
  </si>
  <si>
    <t>Manish s/o Rajkumar Bhagwani and Ors. v. State of Maharashtra (through PSO, PS Washim, District Washim) and Anr.</t>
  </si>
  <si>
    <t>Criminal Application (APL) No. 686 of 2018</t>
  </si>
  <si>
    <t>Other</t>
  </si>
  <si>
    <t>s 482 CrPC; s 498A IPC</t>
  </si>
  <si>
    <t>Whether the FIR and charge-sheet under ss 498A, 323, 504 and 506 IPC can be quashed when the spouses divorced and settled while the application was pending.</t>
  </si>
  <si>
    <t>FIR and charge-sheet quashed: after the divorce, a ₹6 lakh full-and-final settlement and a joint affidavit, the offence is not serious or anti-social, so continuing the prosecution serves no purpose.</t>
  </si>
  <si>
    <t xml:space="preserve">None written in the Judgement </t>
  </si>
  <si>
    <t>https://hcservices.ecourts.gov.in/ecourtindiaHC/cases/display_pdf.php?filename=7yYHzYY%2BHBdF9fmx9reGL1X%2BRUPqmit3yjkOF0FqrTAN2qCtkCPUpZc%2FfReoUXFN&amp;caseno=APL/686/2018&amp;cCode=4&amp;cino=HCBM040232062018&amp;state_code=1&amp;appFlag=</t>
  </si>
  <si>
    <t>Sidhhant Saini</t>
  </si>
  <si>
    <t>Shrikant Gajanan Pendor and 3 Others v. State of Maharashtra (through PSO, Padoli, District Chandrapur) and Sau. Tina Shrikant Pendor</t>
  </si>
  <si>
    <t>Criminal Application (APL) No. 1232 of 2022</t>
  </si>
  <si>
    <t>Partly allowed</t>
  </si>
  <si>
    <t>Mixed or unclear</t>
  </si>
  <si>
    <t>s 498A IPC</t>
  </si>
  <si>
    <t>Whether the cruelty FIR and trial under ss 498A and 504 IPC should be quashed against the husband and his relatives, given that the mother-in-law died during the case.</t>
  </si>
  <si>
    <t>Quashed only for the two sisters-in-law because the allegations against them were vague and omnibus; refused for the husband because specific incidents were alleged against him. The mother-in-law’s part was disposed of on her death.</t>
  </si>
  <si>
    <t>Kahkashan Kausar @ Sonam v. State of Bihar (2022) 6 SCC 599</t>
  </si>
  <si>
    <t>https://hcservices.ecourts.gov.in/ecourtindiaHC/cases/display_pdf.php?filename=ecCMLaqftN0L%2B1WbQmpT0zRWlZqWpJ0uqvqTfHdU%2BLQTXWvkhhZcbxbTkm3X2mnG&amp;caseno=APL/1232/2022&amp;cCode=4&amp;cino=HCBM040187182022&amp;state_code=1&amp;appFlag=</t>
  </si>
  <si>
    <t>Gaurav s/o Arun Bute and Ors. v. State of Maharashtra (through PSO, PS Chimur) and Anr.</t>
  </si>
  <si>
    <t>Criminal Application (APL) No. 307 of 2025</t>
  </si>
  <si>
    <t>Whether the FIR for cruelty, cheating and dowry harassment should be quashed against the husband and six of his relatives when the allegations against the relatives are general.</t>
  </si>
  <si>
    <t>Quashed for the six relatives because the allegations were general, vague and sweeping, with no specific acts or amounts; refused for the husband, against whom a specific allegation (concealing his impotence) was made.</t>
  </si>
  <si>
    <t>Dara Lakshmi Narayana v. State of Telangana (2024 SCC OnLine SC 3682)</t>
  </si>
  <si>
    <t>https://hcservices.ecourts.gov.in/ecourtindiaHC/cases/display_pdf.php?filename=GAW01ZA12bSRM1HEREVtm9G4eOEwUetFe5j9HaE3hym6WtCYr0hn1C2y0WHjRHnX&amp;caseno=APL/307/2025&amp;cCode=4&amp;cino=HCBM040091792025&amp;state_code=1&amp;appFlag=</t>
  </si>
  <si>
    <t>Akash Bhimrao Ingle and Ors. v. State of Maharashtra (through PSO, PS Akot File, Akola) and Anr.</t>
  </si>
  <si>
    <t>Criminal Application (APL) No. 1956 of 2025</t>
  </si>
  <si>
    <t>s 528 BNSS; s 85 BNS</t>
  </si>
  <si>
    <t>Whether the cruelty FIR under s 85 BNS (the old s 498A IPC) can stand against the husband and nine relatives when the allegations are general and the husband is only said to have barely spoken to his wife.</t>
  </si>
  <si>
    <t>FIR quashed against all ten applicants: general, omnibus allegations that name relatives without giving them a role are not enough, and not talking to the wife is not ill-treatment.</t>
  </si>
  <si>
    <t>None cited in the judgment</t>
  </si>
  <si>
    <t>https://hcservices.ecourts.gov.in/ecourtindiaHC/cases/display_pdf.php?filename=GAW01ZA12bSRM1HEREVtm6F3bimPJHrj3u8qcOQr3sBG5DAr0yZKhlNL0Kxv19OD&amp;caseno=APL/1956/2025&amp;cCode=4&amp;cino=HCBM040384892025&amp;state_code=1&amp;appFlag=</t>
  </si>
  <si>
    <t>Sunita Kumari and Others v. State of Maharashtra and Others</t>
  </si>
  <si>
    <t>Criminal Application (APL) No. 1660 of 2022</t>
  </si>
  <si>
    <t>Dismissed</t>
  </si>
  <si>
    <t>State or public body</t>
  </si>
  <si>
    <t>s 498A IPC; s 482 CrPC</t>
  </si>
  <si>
    <t>Whether distant relatives of the husband, who live apart from the wife, can get a cruelty FIR and pending charge-sheet quashed.</t>
  </si>
  <si>
    <t>Application dismissed with ₹10,000 costs: distant relatives still count as “relatives” under s 498A, mental cruelty need not happen in person, and the FIR showed a prima facie case against each applicant.</t>
  </si>
  <si>
    <t>U. Suvetha v. State by Inspector of Police (2009) 6 SCC 757</t>
  </si>
  <si>
    <t>https://hcservices.ecourts.gov.in/ecourtindiaHC/cases/display_pdf.php?filename=ecCMLaqftN0L%2B1WbQmpT05CMtJtr5vW4yfIzGVEFJ3m%2FLKID3sdwQKE13BH89KeP&amp;caseno=APL/1660/2022&amp;cCode=4&amp;cino=HCBM040314852022&amp;state_code=1&amp;appFlag=</t>
  </si>
  <si>
    <t>Shaikh Shaukat s/o Majit @ Majid Patel and Ors. v. State of Maharashtra and Anr.</t>
  </si>
  <si>
    <t>Criminal Application No. 229 of 2022 (2023 LiveLaw (Bom) 67)</t>
  </si>
  <si>
    <t>Whether proceedings under section 498A, 323, 504 and 506 IPC can be quashed on a settlement reached after the trial court had already convicted the husband and his parents, while their appeal was still pending.</t>
  </si>
  <si>
    <t>Trial proceedings and the FIR was quashed and held section 482 CrPC can be used after conviction if an appeal is pending, and the settlement (Khula, ₹3.25 lakh plus meher, wife’s no-objection) was voluntary and genuine.</t>
  </si>
  <si>
    <t>Ramawatar v. State of Madhya Pradesh, 2021 SCC OnLine SC 966</t>
  </si>
  <si>
    <t>https://www.livelaw.in/pdf_upload/ordjud-81-456760.pdf (copy of the order hosted on LiveLaw; replace with official eCourts link)</t>
  </si>
  <si>
    <t>Tamanna</t>
  </si>
  <si>
    <t>Vrushali Jayesh Kore v. State of Maharashtra</t>
  </si>
  <si>
    <t>2023 SCC OnLine Bom 85</t>
  </si>
  <si>
    <t>Whether an FIR under section 498A, 323, 504, 406 and 506 IPC and the Dowry Prohibition Act can be quashed against the husband’s married sister, who was dragged into the matrimonial dispute.</t>
  </si>
  <si>
    <t xml:space="preserve">FIR quashed against the applicant and held even taken at face value the allegations disclose no evidence of any crime committed by her, and letting the case run would misuse the criminal process into a personal graduges. </t>
  </si>
  <si>
    <t>State of Haryana v. Bhajan Lal, 1992 Supp (1) SCC 335</t>
  </si>
  <si>
    <t>https://www.scconline.com/blog/post/2023/01/16/bombay-high-court-quashes-dowry-fir-false-implication-of-husband-and-relatives-applicant-is-judicial-officer-legalnews-legalresearch-legalawareness/ (SCC Online case brief; replace with official eCourts link)</t>
  </si>
  <si>
    <t>Sammeer Dilip Sonawane and Ors. v. State of Maharashtra and Anr.</t>
  </si>
  <si>
    <t>Criminal Writ Petition No. 2918 of 2024 (2024:BHC-AS:40155-DB)</t>
  </si>
  <si>
    <t>Writ petition</t>
  </si>
  <si>
    <t>Whether the FIR and the pending case under section 498A, 406, 323, 504 and 506 IPC can be quashed against the husband, his parents and his brother when the wife says the dispute has been settled.</t>
  </si>
  <si>
    <t>Quashing of FIR and criminal proceeding and held that the wife presented her affidavit in court without any objections to it, and as the matter is between individuals, the continuation of the case is an abuse of procedure.</t>
  </si>
  <si>
    <t>https://rawlaw.in/wp-content/uploads/2024/10/13.pdf (copy of the order hosted on Raw Law; replace with official eCourts link)</t>
  </si>
  <si>
    <t>Rushik Rajendra Shah and Ors. v. Ruchika Rushik Shah and Anr.</t>
  </si>
  <si>
    <t>Criminal Application No. 978 of 2024 (2024:BHC-AS:44107-DB)</t>
  </si>
  <si>
    <t>Whether an FIR and charge-sheet under secction 498A, 325, 323, 307 and 504 IPC and the Dowry Prohibition Act can be quashed after charges were framed, when the spouses had divorced by mutual consent and settled.</t>
  </si>
  <si>
    <t>FIR, charge sheet and other proceedings set aside and held that the crimes are not heinous, are of a personal nature, the terms of consent are real and cover the interests of the child, and there is no objection from the wife.</t>
  </si>
  <si>
    <t>Ramgopal v. State of Madhya Pradesh (Criminal Appeal No. 1489 of 2012)</t>
  </si>
  <si>
    <t>https://lawtext.in/judgement.php?bid=1191 (Lawtext case note; replace with official eCourts link)</t>
  </si>
  <si>
    <t>Vaibhav Gopaldas Mundada and Ors. v. State of Maharashtra and Anr.</t>
  </si>
  <si>
    <t>Criminal Application (APL) No. 1349 of 2024 (2026:BHC-NAG:2909-DB)</t>
  </si>
  <si>
    <t>Whether the FIR under section 498A read with section 34 IPC can be quashed against the husband, his parents and two relatives when it was lodged after divorce proceedings began and settlement talks had failed.</t>
  </si>
  <si>
    <t>Appeal to FIR dismissed in respect of all five appellants because the charges were general and omnibus in nature with no dates or acts of cruelty mentioned and the chat and documents revealed that it was an oppression case</t>
  </si>
  <si>
    <t>Pradeep Kumar Kesarwani v. State of Uttar Pradesh, 2025 SCC OnLine SC 1947</t>
  </si>
  <si>
    <t>https://www.shoneekapoor.com/media/document/3505 (copy of the judgment hosted on shoneekapoor.com; replace with official eCourts link)</t>
  </si>
  <si>
    <t>Tushar Bhanudas Bharambe &amp; Ors. v. State of Maharashtra &amp; Anr.</t>
  </si>
  <si>
    <t>Criminal Application (APL) No. 1287 of 2021</t>
  </si>
  <si>
    <t>s 482 CrPC; s 498A, 323, 504, 506 r/w s 34 IPC</t>
  </si>
  <si>
    <t>Whether criminal proceedings under Section 498-A IPC can be quashed upon mutual compromise and pending divorce proceedings</t>
  </si>
  <si>
    <t>FIR and criminal case quashed since matrimonial dispute was amicably resolved by parties through mutual compromise</t>
  </si>
  <si>
    <t>Madan Mohan Abbot v. State of Punjab, (2008) 4 SCC 582</t>
  </si>
  <si>
    <t>https://supremetoday.ai/doc/judgement/00400070810</t>
  </si>
  <si>
    <t>Kratika</t>
  </si>
  <si>
    <t>Jalendra Sakharam Khare &amp; Ors. v. State of Maharashtra &amp; Shital Khare</t>
  </si>
  <si>
    <t>Criminal Application (APL) No. 179 of 2020</t>
  </si>
  <si>
    <t>s 482 CrPC; s 12, 23 Protection of Women from Domestic Violence Act, 2005; s 498A IPC</t>
  </si>
  <si>
    <t>Whether domestic violence and matrimonial proceedings against relatives are maintainable in absence of shared household or specific allegations</t>
  </si>
  <si>
    <t>Application allowed and proceedings quashed against applicants due to lack of domestic relationship and specific allegations</t>
  </si>
  <si>
    <t>Prabha Tyagi v. Kamlesh Devi, (2022) 8 SCC 90</t>
  </si>
  <si>
    <t>https://indiankanoon.org/doc/118669928/</t>
  </si>
  <si>
    <t>Umesh s/o Krishnarao Shirpurkar &amp; Anr. v. State of Maharashtra &amp; Anr.</t>
  </si>
  <si>
    <t>Criminal Application (APL) No. 698 of 2022</t>
  </si>
  <si>
    <t>s 482 CrPC; s 498A, 323, 504, 506 IPC</t>
  </si>
  <si>
    <t>Whether FIR and criminal case under Section 498-A IPC can be quashed upon amicable settlement between estranged spouses</t>
  </si>
  <si>
    <t>FIR and proceedings quashed as the matrimonial dispute was private in nature and resolved voluntarily through terms of settlement</t>
  </si>
  <si>
    <t>https://indiankanoon.org/doc/130782180/</t>
  </si>
  <si>
    <t>Anurag s/o Dhanraj Meshram &amp; 4 Ors. v. State of Maharashtra &amp; Anr.</t>
  </si>
  <si>
    <t>Criminal Application (APL) No. 855 of 2021</t>
  </si>
  <si>
    <t>s 482 CrPC; s 498A r/w s 34 IPC</t>
  </si>
  <si>
    <t>Whether prosecution for cruelty under Section 498-A/34 IPC should be quashed pursuant to compromise deed between the parties</t>
  </si>
  <si>
    <t>FIR quashed as the dispute was entirely personal in nature and continuing criminal proceedings would cause unnecessary judicial burden</t>
  </si>
  <si>
    <t>https://indiankanoon.org/doc/103827261/</t>
  </si>
  <si>
    <t>Akshay s/o Rammilan Pal v. State of Maharashtra &amp; Anr.</t>
  </si>
  <si>
    <t>Criminal Application (APL) No. 981 of 2022</t>
  </si>
  <si>
    <t>Whether criminal proceedings under Section 498-A IPC can be quashed upon amicable settlement between husband and wife</t>
  </si>
  <si>
    <t>FIR and proceedings quashed as matrimonial dispute was purely private and settled amicably through mutual agreement</t>
  </si>
  <si>
    <t>Gian Singh v. State of Punjab, (2012) 10 SCC 303</t>
  </si>
  <si>
    <t>https://indiankanoon.org/doc/35161620/</t>
  </si>
  <si>
    <t>Counts for your charts (these update automatically from the Data sheet)</t>
  </si>
  <si>
    <t>Select a table below, then Insert &gt; Chart in Excel or Google Sheets. Save each chart as PNG.</t>
  </si>
  <si>
    <t>Judgments</t>
  </si>
  <si>
    <t>Company</t>
  </si>
  <si>
    <t>Association or NGO</t>
  </si>
  <si>
    <t>Civil appeal</t>
  </si>
  <si>
    <t>SLP</t>
  </si>
  <si>
    <t>Lists used by the dropdowns (do not edit)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</si>
</sst>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numFmts>
  <fonts count="29">
    <font>
      <sz val="11"/>
      <color theme="1"/>
      <name val="Calibri"/>
      <charset val="134"/>
      <scheme val="minor"/>
    </font>
    <font>
      <b/>
      <sz val="12"/>
      <color rgb="FF1B2431"/>
      <name val="Arial"/>
      <charset val="134"/>
    </font>
    <font>
      <b/>
      <sz val="9"/>
      <color rgb="FFFFFFFF"/>
      <name val="Arial"/>
      <charset val="134"/>
    </font>
    <font>
      <sz val="9"/>
      <name val="Arial"/>
      <charset val="134"/>
    </font>
    <font>
      <sz val="9"/>
      <color rgb="FF5A6472"/>
      <name val="Arial"/>
      <charset val="134"/>
    </font>
    <font>
      <b/>
      <sz val="14"/>
      <color rgb="FF1B2431"/>
      <name val="Arial"/>
      <charset val="134"/>
    </font>
    <font>
      <u/>
      <sz val="11"/>
      <color theme="10"/>
      <name val="Calibri"/>
      <charset val="134"/>
      <scheme val="minor"/>
    </font>
    <font>
      <b/>
      <sz val="10"/>
      <name val="Arial"/>
      <charset val="134"/>
    </font>
    <font>
      <sz val="10"/>
      <name val="Arial"/>
      <charset val="134"/>
    </font>
    <font>
      <b/>
      <sz val="16"/>
      <color rgb="FF1B2431"/>
      <name val="Arial"/>
      <charset val="134"/>
    </font>
    <font>
      <sz val="11"/>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1B2431"/>
        <bgColor indexed="64"/>
      </patternFill>
    </fill>
    <fill>
      <patternFill patternType="solid">
        <fgColor rgb="FFF2F2F0"/>
        <bgColor indexed="64"/>
      </patternFill>
    </fill>
    <fill>
      <patternFill patternType="solid">
        <fgColor rgb="FFFFF7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0D4D9"/>
      </left>
      <right style="thin">
        <color rgb="FFD0D4D9"/>
      </right>
      <top style="thin">
        <color rgb="FFD0D4D9"/>
      </top>
      <bottom style="thin">
        <color rgb="FFD0D4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0" fillId="0" borderId="0" applyFont="0" applyFill="0" applyBorder="0" applyAlignment="0" applyProtection="0">
      <alignment vertical="center"/>
    </xf>
    <xf numFmtId="177" fontId="10" fillId="0" borderId="0" applyFont="0" applyFill="0" applyBorder="0" applyAlignment="0" applyProtection="0">
      <alignment vertical="center"/>
    </xf>
    <xf numFmtId="9" fontId="10" fillId="0" borderId="0" applyFont="0" applyFill="0" applyBorder="0" applyAlignment="0" applyProtection="0">
      <alignment vertical="center"/>
    </xf>
    <xf numFmtId="178" fontId="10" fillId="0" borderId="0" applyFont="0" applyFill="0" applyBorder="0" applyAlignment="0" applyProtection="0">
      <alignment vertical="center"/>
    </xf>
    <xf numFmtId="179" fontId="10" fillId="0" borderId="0" applyFont="0" applyFill="0" applyBorder="0" applyAlignment="0" applyProtection="0">
      <alignment vertical="center"/>
    </xf>
    <xf numFmtId="0" fontId="6" fillId="0" borderId="0" applyNumberFormat="0" applyFill="0" applyBorder="0" applyAlignment="0" applyProtection="0"/>
    <xf numFmtId="0" fontId="11" fillId="0" borderId="0" applyNumberFormat="0" applyFill="0" applyBorder="0" applyAlignment="0" applyProtection="0">
      <alignment vertical="center"/>
    </xf>
    <xf numFmtId="0" fontId="10" fillId="5"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6" borderId="5" applyNumberFormat="0" applyAlignment="0" applyProtection="0">
      <alignment vertical="center"/>
    </xf>
    <xf numFmtId="0" fontId="19" fillId="7" borderId="6" applyNumberFormat="0" applyAlignment="0" applyProtection="0">
      <alignment vertical="center"/>
    </xf>
    <xf numFmtId="0" fontId="20" fillId="7" borderId="5" applyNumberFormat="0" applyAlignment="0" applyProtection="0">
      <alignment vertical="center"/>
    </xf>
    <xf numFmtId="0" fontId="21" fillId="8"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7" fillId="35" borderId="0" applyNumberFormat="0" applyBorder="0" applyAlignment="0" applyProtection="0">
      <alignment vertical="center"/>
    </xf>
  </cellStyleXfs>
  <cellXfs count="23">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5" fillId="0" borderId="0" xfId="0" applyFont="1"/>
    <xf numFmtId="0" fontId="2" fillId="2" borderId="0" xfId="0" applyFont="1" applyFill="1" applyAlignment="1">
      <alignment vertical="top" wrapText="1"/>
    </xf>
    <xf numFmtId="0" fontId="2" fillId="2" borderId="0" xfId="0" applyFont="1" applyFill="1" applyAlignment="1">
      <alignment wrapText="1"/>
    </xf>
    <xf numFmtId="0" fontId="4" fillId="3" borderId="1" xfId="0" applyFont="1" applyFill="1" applyBorder="1" applyAlignment="1">
      <alignment vertical="top" wrapText="1"/>
    </xf>
    <xf numFmtId="0" fontId="4" fillId="3" borderId="1" xfId="0" applyFont="1" applyFill="1" applyBorder="1" applyAlignment="1">
      <alignment wrapText="1"/>
    </xf>
    <xf numFmtId="0" fontId="0" fillId="0" borderId="0" xfId="0" applyAlignment="1">
      <alignment wrapText="1"/>
    </xf>
    <xf numFmtId="180" fontId="0" fillId="0" borderId="0" xfId="0" applyNumberFormat="1"/>
    <xf numFmtId="0" fontId="3" fillId="4" borderId="1" xfId="0" applyFont="1" applyFill="1" applyBorder="1" applyAlignment="1">
      <alignment wrapText="1"/>
    </xf>
    <xf numFmtId="0" fontId="3" fillId="4" borderId="1" xfId="0" applyFont="1" applyFill="1" applyBorder="1" applyAlignment="1">
      <alignment vertical="top" wrapText="1"/>
    </xf>
    <xf numFmtId="180" fontId="3" fillId="4" borderId="1" xfId="0" applyNumberFormat="1" applyFont="1" applyFill="1" applyBorder="1" applyAlignment="1">
      <alignment vertical="top" wrapText="1"/>
    </xf>
    <xf numFmtId="0" fontId="0" fillId="0" borderId="0" xfId="0" applyAlignment="1">
      <alignment horizontal="left"/>
    </xf>
    <xf numFmtId="0" fontId="6" fillId="4" borderId="1" xfId="6" applyFill="1" applyBorder="1" applyAlignment="1">
      <alignment vertical="top" wrapText="1"/>
    </xf>
    <xf numFmtId="0" fontId="7" fillId="0" borderId="0" xfId="0" applyFont="1"/>
    <xf numFmtId="0" fontId="8" fillId="4" borderId="1" xfId="0" applyFont="1" applyFill="1" applyBorder="1"/>
    <xf numFmtId="0" fontId="9" fillId="0" borderId="0" xfId="0" applyFont="1" applyAlignment="1">
      <alignment vertical="top" wrapText="1"/>
    </xf>
    <xf numFmtId="0" fontId="3" fillId="0" borderId="0" xfId="0" applyFont="1" applyAlignment="1">
      <alignment vertical="top" wrapText="1"/>
    </xf>
    <xf numFmtId="0" fontId="1" fillId="0" borderId="0" xfId="0" applyFont="1" applyAlignment="1">
      <alignment vertical="top" wrapText="1"/>
    </xf>
    <xf numFmtId="0" fontId="8" fillId="0" borderId="0" xfId="0" applyFont="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5" Type="http://schemas.openxmlformats.org/officeDocument/2006/relationships/hyperlink" Target="https://indiankanoon.org/doc/35161620/" TargetMode="External"/><Relationship Id="rId4" Type="http://schemas.openxmlformats.org/officeDocument/2006/relationships/hyperlink" Target="https://indiankanoon.org/doc/103827261/" TargetMode="External"/><Relationship Id="rId3" Type="http://schemas.openxmlformats.org/officeDocument/2006/relationships/hyperlink" Target="https://indiankanoon.org/doc/130782180/" TargetMode="External"/><Relationship Id="rId2" Type="http://schemas.openxmlformats.org/officeDocument/2006/relationships/hyperlink" Target="https://indiankanoon.org/doc/118669928/" TargetMode="External"/><Relationship Id="rId1" Type="http://schemas.openxmlformats.org/officeDocument/2006/relationships/hyperlink" Target="https://supremetoday.ai/doc/judgement/0040007081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B9"/>
  <sheetViews>
    <sheetView workbookViewId="0">
      <selection activeCell="B21" sqref="B21"/>
    </sheetView>
  </sheetViews>
  <sheetFormatPr defaultColWidth="8.78181818181818" defaultRowHeight="14.5" outlineLevelCol="1"/>
  <cols>
    <col min="1" max="1" width="3" customWidth="1"/>
    <col min="2" max="2" width="105" customWidth="1"/>
  </cols>
  <sheetData>
    <row r="2" ht="36" customHeight="1" spans="2:2">
      <c r="B2" s="19" t="s">
        <v>0</v>
      </c>
    </row>
    <row r="3" ht="16.05" customHeight="1" spans="2:2">
      <c r="B3" s="20"/>
    </row>
    <row r="4" ht="18" customHeight="1" spans="2:2">
      <c r="B4" s="21" t="s">
        <v>1</v>
      </c>
    </row>
    <row r="5" ht="16.05" customHeight="1" spans="2:2">
      <c r="B5" s="22" t="s">
        <v>2</v>
      </c>
    </row>
    <row r="6" ht="30" customHeight="1" spans="2:2">
      <c r="B6" s="22" t="s">
        <v>3</v>
      </c>
    </row>
    <row r="7" ht="30" customHeight="1" spans="2:2">
      <c r="B7" s="22" t="s">
        <v>4</v>
      </c>
    </row>
    <row r="8" ht="30" customHeight="1" spans="2:2">
      <c r="B8" s="22" t="s">
        <v>5</v>
      </c>
    </row>
    <row r="9" ht="16.05" customHeight="1" spans="2:2">
      <c r="B9" s="22" t="s">
        <v>6</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C12"/>
  <sheetViews>
    <sheetView workbookViewId="0">
      <selection activeCell="C6" sqref="C6"/>
    </sheetView>
  </sheetViews>
  <sheetFormatPr defaultColWidth="8.78181818181818" defaultRowHeight="14.5" outlineLevelCol="2"/>
  <cols>
    <col min="1" max="1" width="3" customWidth="1"/>
    <col min="2" max="2" width="33.3363636363636" customWidth="1"/>
    <col min="3" max="3" width="55.2181818181818" customWidth="1"/>
  </cols>
  <sheetData>
    <row r="2" ht="18" spans="2:2">
      <c r="B2" s="5" t="s">
        <v>7</v>
      </c>
    </row>
    <row r="4" spans="2:3">
      <c r="B4" s="17" t="s">
        <v>8</v>
      </c>
      <c r="C4" s="18" t="s">
        <v>9</v>
      </c>
    </row>
    <row r="5" spans="2:3">
      <c r="B5" s="17" t="s">
        <v>10</v>
      </c>
      <c r="C5" s="18" t="s">
        <v>11</v>
      </c>
    </row>
    <row r="6" spans="2:3">
      <c r="B6" s="17" t="s">
        <v>12</v>
      </c>
      <c r="C6" s="18" t="s">
        <v>13</v>
      </c>
    </row>
    <row r="7" spans="2:3">
      <c r="B7" s="17" t="s">
        <v>14</v>
      </c>
      <c r="C7" s="18"/>
    </row>
    <row r="8" spans="2:3">
      <c r="B8" s="17" t="s">
        <v>15</v>
      </c>
      <c r="C8" s="18" t="s">
        <v>16</v>
      </c>
    </row>
    <row r="9" spans="2:3">
      <c r="B9" s="17" t="s">
        <v>17</v>
      </c>
      <c r="C9" s="18" t="s">
        <v>18</v>
      </c>
    </row>
    <row r="10" spans="2:3">
      <c r="B10" s="17" t="s">
        <v>19</v>
      </c>
      <c r="C10" s="18" t="s">
        <v>20</v>
      </c>
    </row>
    <row r="11" spans="2:3">
      <c r="B11" s="17" t="s">
        <v>21</v>
      </c>
      <c r="C11" s="18" t="s">
        <v>22</v>
      </c>
    </row>
    <row r="12" spans="2:3">
      <c r="B12" s="17" t="s">
        <v>23</v>
      </c>
      <c r="C12" s="18" t="s">
        <v>24</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5"/>
  <sheetViews>
    <sheetView tabSelected="1" zoomScale="83" zoomScaleNormal="83" workbookViewId="0">
      <pane xSplit="2" ySplit="4" topLeftCell="L5" activePane="bottomRight" state="frozen"/>
      <selection/>
      <selection pane="topRight"/>
      <selection pane="bottomLeft"/>
      <selection pane="bottomRight" activeCell="N6" sqref="N6"/>
    </sheetView>
  </sheetViews>
  <sheetFormatPr defaultColWidth="8.78181818181818" defaultRowHeight="14.5"/>
  <cols>
    <col min="1" max="1" width="4" customWidth="1"/>
    <col min="2" max="2" width="84.4454545454546" customWidth="1"/>
    <col min="3" max="3" width="22" customWidth="1"/>
    <col min="4" max="4" width="14" customWidth="1"/>
    <col min="5" max="5" width="7" customWidth="1"/>
    <col min="6" max="6" width="8" customWidth="1"/>
    <col min="7" max="7" width="16" customWidth="1"/>
    <col min="8" max="8" width="20" customWidth="1"/>
    <col min="9" max="9" width="14" customWidth="1"/>
    <col min="10" max="10" width="20" customWidth="1"/>
    <col min="11" max="11" width="18" customWidth="1"/>
    <col min="12" max="13" width="40" customWidth="1"/>
    <col min="14" max="14" width="28" customWidth="1"/>
    <col min="15" max="15" width="30" customWidth="1"/>
    <col min="16" max="16" width="16" customWidth="1"/>
  </cols>
  <sheetData>
    <row r="1" ht="18" spans="1:1">
      <c r="A1" s="5" t="s">
        <v>25</v>
      </c>
    </row>
    <row r="2" spans="1:1">
      <c r="A2" s="4" t="s">
        <v>26</v>
      </c>
    </row>
    <row r="4" ht="36" customHeight="1" spans="1:16">
      <c r="A4" s="6" t="s">
        <v>27</v>
      </c>
      <c r="B4" s="6" t="s">
        <v>28</v>
      </c>
      <c r="C4" s="6" t="s">
        <v>29</v>
      </c>
      <c r="D4" s="6" t="s">
        <v>30</v>
      </c>
      <c r="E4" s="6" t="s">
        <v>31</v>
      </c>
      <c r="F4" s="7" t="s">
        <v>32</v>
      </c>
      <c r="G4" s="6" t="s">
        <v>33</v>
      </c>
      <c r="H4" s="6" t="s">
        <v>34</v>
      </c>
      <c r="I4" s="6" t="s">
        <v>35</v>
      </c>
      <c r="J4" s="6" t="s">
        <v>36</v>
      </c>
      <c r="K4" s="6" t="s">
        <v>37</v>
      </c>
      <c r="L4" s="6" t="s">
        <v>38</v>
      </c>
      <c r="M4" s="6" t="s">
        <v>39</v>
      </c>
      <c r="N4" s="6" t="s">
        <v>40</v>
      </c>
      <c r="O4" s="6" t="s">
        <v>41</v>
      </c>
      <c r="P4" s="6" t="s">
        <v>42</v>
      </c>
    </row>
    <row r="5" ht="45" customHeight="1" spans="1:16">
      <c r="A5" s="8" t="s">
        <v>43</v>
      </c>
      <c r="B5" s="8" t="s">
        <v>44</v>
      </c>
      <c r="C5" s="8" t="s">
        <v>45</v>
      </c>
      <c r="D5" s="8" t="s">
        <v>46</v>
      </c>
      <c r="E5" s="8">
        <v>2024</v>
      </c>
      <c r="F5" s="9">
        <v>2</v>
      </c>
      <c r="G5" s="8" t="s">
        <v>47</v>
      </c>
      <c r="H5" s="8" t="s">
        <v>48</v>
      </c>
      <c r="I5" s="8" t="s">
        <v>49</v>
      </c>
      <c r="J5" s="8" t="s">
        <v>48</v>
      </c>
      <c r="K5" s="8" t="s">
        <v>50</v>
      </c>
      <c r="L5" s="8" t="s">
        <v>51</v>
      </c>
      <c r="M5" s="8" t="s">
        <v>52</v>
      </c>
      <c r="N5" s="8" t="s">
        <v>53</v>
      </c>
      <c r="O5" s="8" t="s">
        <v>54</v>
      </c>
      <c r="P5" s="8" t="s">
        <v>55</v>
      </c>
    </row>
    <row r="6" ht="79.5" customHeight="1" spans="1:16">
      <c r="A6" s="3">
        <v>1</v>
      </c>
      <c r="B6" s="10" t="s">
        <v>56</v>
      </c>
      <c r="C6" s="10" t="s">
        <v>57</v>
      </c>
      <c r="D6" s="11">
        <v>45005</v>
      </c>
      <c r="E6">
        <v>2023</v>
      </c>
      <c r="F6" s="12">
        <v>2</v>
      </c>
      <c r="G6" s="3" t="s">
        <v>58</v>
      </c>
      <c r="H6" t="s">
        <v>48</v>
      </c>
      <c r="I6" t="s">
        <v>49</v>
      </c>
      <c r="J6" t="s">
        <v>48</v>
      </c>
      <c r="K6" s="10" t="s">
        <v>59</v>
      </c>
      <c r="L6" s="10" t="s">
        <v>60</v>
      </c>
      <c r="M6" s="10" t="s">
        <v>61</v>
      </c>
      <c r="N6" s="13" t="s">
        <v>62</v>
      </c>
      <c r="O6" s="13" t="s">
        <v>63</v>
      </c>
      <c r="P6" s="13" t="s">
        <v>64</v>
      </c>
    </row>
    <row r="7" ht="91.95" customHeight="1" spans="1:16">
      <c r="A7" s="3">
        <v>2</v>
      </c>
      <c r="B7" s="10" t="s">
        <v>65</v>
      </c>
      <c r="C7" s="10" t="s">
        <v>66</v>
      </c>
      <c r="D7" s="11">
        <v>45945</v>
      </c>
      <c r="E7">
        <v>2025</v>
      </c>
      <c r="F7" s="12">
        <v>2</v>
      </c>
      <c r="G7" s="3" t="s">
        <v>58</v>
      </c>
      <c r="H7" t="s">
        <v>48</v>
      </c>
      <c r="I7" t="s">
        <v>67</v>
      </c>
      <c r="J7" t="s">
        <v>68</v>
      </c>
      <c r="K7" t="s">
        <v>69</v>
      </c>
      <c r="L7" s="10" t="s">
        <v>70</v>
      </c>
      <c r="M7" s="10" t="s">
        <v>71</v>
      </c>
      <c r="N7" s="10" t="s">
        <v>72</v>
      </c>
      <c r="O7" s="13" t="s">
        <v>73</v>
      </c>
      <c r="P7" s="13" t="s">
        <v>64</v>
      </c>
    </row>
    <row r="8" ht="85.05" customHeight="1" spans="1:16">
      <c r="A8" s="3">
        <v>3</v>
      </c>
      <c r="B8" t="s">
        <v>74</v>
      </c>
      <c r="C8" s="10" t="s">
        <v>75</v>
      </c>
      <c r="D8" s="11">
        <v>46069</v>
      </c>
      <c r="E8" s="10">
        <v>2026</v>
      </c>
      <c r="F8" s="10">
        <v>1</v>
      </c>
      <c r="G8" s="12" t="s">
        <v>58</v>
      </c>
      <c r="H8" t="s">
        <v>48</v>
      </c>
      <c r="I8" t="s">
        <v>67</v>
      </c>
      <c r="J8" s="15" t="s">
        <v>68</v>
      </c>
      <c r="K8" t="s">
        <v>69</v>
      </c>
      <c r="L8" s="10" t="s">
        <v>76</v>
      </c>
      <c r="M8" s="10" t="s">
        <v>77</v>
      </c>
      <c r="N8" s="10" t="s">
        <v>78</v>
      </c>
      <c r="O8" s="12" t="s">
        <v>79</v>
      </c>
      <c r="P8" s="12" t="s">
        <v>64</v>
      </c>
    </row>
    <row r="9" ht="70.5" customHeight="1" spans="1:16">
      <c r="A9" s="3">
        <v>4</v>
      </c>
      <c r="B9" t="s">
        <v>80</v>
      </c>
      <c r="C9" s="10" t="s">
        <v>81</v>
      </c>
      <c r="D9" s="11">
        <v>46077</v>
      </c>
      <c r="E9">
        <v>2026</v>
      </c>
      <c r="F9" s="12">
        <v>1</v>
      </c>
      <c r="G9" t="s">
        <v>58</v>
      </c>
      <c r="H9" t="s">
        <v>48</v>
      </c>
      <c r="I9" t="s">
        <v>49</v>
      </c>
      <c r="J9" t="s">
        <v>48</v>
      </c>
      <c r="K9" t="s">
        <v>82</v>
      </c>
      <c r="L9" s="10" t="s">
        <v>83</v>
      </c>
      <c r="M9" s="10" t="s">
        <v>84</v>
      </c>
      <c r="N9" t="s">
        <v>85</v>
      </c>
      <c r="O9" s="12" t="s">
        <v>86</v>
      </c>
      <c r="P9" s="12" t="s">
        <v>64</v>
      </c>
    </row>
    <row r="10" ht="75.45" customHeight="1" spans="1:16">
      <c r="A10" s="3">
        <v>5</v>
      </c>
      <c r="B10" t="s">
        <v>87</v>
      </c>
      <c r="C10" s="10" t="s">
        <v>88</v>
      </c>
      <c r="D10" s="11">
        <v>44917</v>
      </c>
      <c r="E10">
        <v>2022</v>
      </c>
      <c r="F10" s="12">
        <v>2</v>
      </c>
      <c r="G10" t="s">
        <v>58</v>
      </c>
      <c r="H10" t="s">
        <v>48</v>
      </c>
      <c r="I10" t="s">
        <v>89</v>
      </c>
      <c r="J10" t="s">
        <v>90</v>
      </c>
      <c r="K10" t="s">
        <v>91</v>
      </c>
      <c r="L10" s="10" t="s">
        <v>92</v>
      </c>
      <c r="M10" s="10" t="s">
        <v>93</v>
      </c>
      <c r="N10" s="10" t="s">
        <v>94</v>
      </c>
      <c r="O10" s="13" t="s">
        <v>95</v>
      </c>
      <c r="P10" s="12" t="s">
        <v>64</v>
      </c>
    </row>
    <row r="11" ht="120" customHeight="1" spans="1:16">
      <c r="A11" s="3">
        <v>6</v>
      </c>
      <c r="B11" t="s">
        <v>96</v>
      </c>
      <c r="C11" s="10" t="s">
        <v>97</v>
      </c>
      <c r="D11" s="11">
        <v>44944</v>
      </c>
      <c r="E11">
        <v>2023</v>
      </c>
      <c r="F11" s="12">
        <v>2</v>
      </c>
      <c r="G11" t="s">
        <v>58</v>
      </c>
      <c r="H11" t="s">
        <v>48</v>
      </c>
      <c r="I11" t="s">
        <v>49</v>
      </c>
      <c r="J11" t="s">
        <v>48</v>
      </c>
      <c r="K11" t="s">
        <v>59</v>
      </c>
      <c r="L11" s="10" t="s">
        <v>98</v>
      </c>
      <c r="M11" s="10" t="s">
        <v>99</v>
      </c>
      <c r="N11" s="10" t="s">
        <v>100</v>
      </c>
      <c r="O11" s="13" t="s">
        <v>101</v>
      </c>
      <c r="P11" s="13" t="s">
        <v>102</v>
      </c>
    </row>
    <row r="12" ht="120" customHeight="1" spans="1:16">
      <c r="A12" s="3">
        <v>7</v>
      </c>
      <c r="B12" t="s">
        <v>103</v>
      </c>
      <c r="C12" s="10" t="s">
        <v>104</v>
      </c>
      <c r="D12" s="11">
        <v>44933</v>
      </c>
      <c r="E12">
        <v>2023</v>
      </c>
      <c r="F12" s="12">
        <v>2</v>
      </c>
      <c r="G12" t="s">
        <v>58</v>
      </c>
      <c r="H12" t="s">
        <v>48</v>
      </c>
      <c r="I12" t="s">
        <v>49</v>
      </c>
      <c r="J12" t="s">
        <v>48</v>
      </c>
      <c r="K12" t="s">
        <v>59</v>
      </c>
      <c r="L12" s="10" t="s">
        <v>105</v>
      </c>
      <c r="M12" s="10" t="s">
        <v>106</v>
      </c>
      <c r="N12" s="10" t="s">
        <v>107</v>
      </c>
      <c r="O12" s="13" t="s">
        <v>108</v>
      </c>
      <c r="P12" s="13" t="s">
        <v>102</v>
      </c>
    </row>
    <row r="13" ht="120" customHeight="1" spans="1:16">
      <c r="A13" s="3">
        <v>8</v>
      </c>
      <c r="B13" t="s">
        <v>109</v>
      </c>
      <c r="C13" s="10" t="s">
        <v>110</v>
      </c>
      <c r="D13" s="11">
        <v>45573</v>
      </c>
      <c r="E13">
        <v>2024</v>
      </c>
      <c r="F13" s="12">
        <v>2</v>
      </c>
      <c r="G13" t="s">
        <v>111</v>
      </c>
      <c r="H13" t="s">
        <v>48</v>
      </c>
      <c r="I13" t="s">
        <v>49</v>
      </c>
      <c r="J13" t="s">
        <v>48</v>
      </c>
      <c r="K13" t="s">
        <v>69</v>
      </c>
      <c r="L13" s="10" t="s">
        <v>112</v>
      </c>
      <c r="M13" s="10" t="s">
        <v>113</v>
      </c>
      <c r="N13" s="10" t="s">
        <v>85</v>
      </c>
      <c r="O13" s="13" t="s">
        <v>114</v>
      </c>
      <c r="P13" s="13" t="s">
        <v>102</v>
      </c>
    </row>
    <row r="14" ht="120" customHeight="1" spans="1:16">
      <c r="A14" s="3">
        <v>9</v>
      </c>
      <c r="B14" t="s">
        <v>115</v>
      </c>
      <c r="C14" s="10" t="s">
        <v>116</v>
      </c>
      <c r="D14" s="11">
        <v>45609</v>
      </c>
      <c r="E14">
        <v>2024</v>
      </c>
      <c r="F14" s="12">
        <v>2</v>
      </c>
      <c r="G14" t="s">
        <v>58</v>
      </c>
      <c r="H14" t="s">
        <v>48</v>
      </c>
      <c r="I14" t="s">
        <v>49</v>
      </c>
      <c r="J14" t="s">
        <v>48</v>
      </c>
      <c r="K14" t="s">
        <v>59</v>
      </c>
      <c r="L14" s="10" t="s">
        <v>117</v>
      </c>
      <c r="M14" s="10" t="s">
        <v>118</v>
      </c>
      <c r="N14" s="10" t="s">
        <v>119</v>
      </c>
      <c r="O14" s="13" t="s">
        <v>120</v>
      </c>
      <c r="P14" s="13" t="s">
        <v>102</v>
      </c>
    </row>
    <row r="15" ht="120" customHeight="1" spans="1:16">
      <c r="A15" s="3">
        <v>10</v>
      </c>
      <c r="B15" t="s">
        <v>121</v>
      </c>
      <c r="C15" s="10" t="s">
        <v>122</v>
      </c>
      <c r="D15" s="11">
        <v>46073</v>
      </c>
      <c r="E15">
        <v>2026</v>
      </c>
      <c r="F15" s="12">
        <v>1</v>
      </c>
      <c r="G15" t="s">
        <v>58</v>
      </c>
      <c r="H15" t="s">
        <v>48</v>
      </c>
      <c r="I15" t="s">
        <v>49</v>
      </c>
      <c r="J15" t="s">
        <v>48</v>
      </c>
      <c r="K15" t="s">
        <v>59</v>
      </c>
      <c r="L15" s="10" t="s">
        <v>123</v>
      </c>
      <c r="M15" s="10" t="s">
        <v>124</v>
      </c>
      <c r="N15" s="10" t="s">
        <v>125</v>
      </c>
      <c r="O15" s="13" t="s">
        <v>126</v>
      </c>
      <c r="P15" s="13" t="s">
        <v>102</v>
      </c>
    </row>
    <row r="16" ht="40.05" customHeight="1" spans="1:16">
      <c r="A16" s="3">
        <v>11</v>
      </c>
      <c r="B16" s="13" t="s">
        <v>127</v>
      </c>
      <c r="C16" s="13" t="s">
        <v>128</v>
      </c>
      <c r="D16" s="11">
        <v>44573</v>
      </c>
      <c r="E16" s="13">
        <v>2022</v>
      </c>
      <c r="F16" s="12">
        <v>2</v>
      </c>
      <c r="G16" s="13" t="s">
        <v>58</v>
      </c>
      <c r="H16" s="13" t="s">
        <v>48</v>
      </c>
      <c r="I16" s="13" t="s">
        <v>49</v>
      </c>
      <c r="J16" s="13" t="s">
        <v>48</v>
      </c>
      <c r="K16" s="13" t="s">
        <v>129</v>
      </c>
      <c r="L16" s="13" t="s">
        <v>130</v>
      </c>
      <c r="M16" s="13" t="s">
        <v>131</v>
      </c>
      <c r="N16" s="13" t="s">
        <v>132</v>
      </c>
      <c r="O16" s="16" t="s">
        <v>133</v>
      </c>
      <c r="P16" s="13" t="s">
        <v>134</v>
      </c>
    </row>
    <row r="17" ht="40.05" customHeight="1" spans="1:16">
      <c r="A17" s="3">
        <v>12</v>
      </c>
      <c r="B17" s="13" t="s">
        <v>135</v>
      </c>
      <c r="C17" s="13" t="s">
        <v>136</v>
      </c>
      <c r="D17" s="11">
        <v>45083</v>
      </c>
      <c r="E17">
        <v>2023</v>
      </c>
      <c r="F17" s="12">
        <v>1</v>
      </c>
      <c r="G17" s="13" t="s">
        <v>58</v>
      </c>
      <c r="H17" s="13" t="s">
        <v>48</v>
      </c>
      <c r="I17" s="13" t="s">
        <v>49</v>
      </c>
      <c r="J17" s="13" t="s">
        <v>48</v>
      </c>
      <c r="K17" s="13" t="s">
        <v>137</v>
      </c>
      <c r="L17" s="13" t="s">
        <v>138</v>
      </c>
      <c r="M17" s="13" t="s">
        <v>139</v>
      </c>
      <c r="N17" s="13" t="s">
        <v>140</v>
      </c>
      <c r="O17" s="16" t="s">
        <v>141</v>
      </c>
      <c r="P17" s="13" t="s">
        <v>134</v>
      </c>
    </row>
    <row r="18" ht="40.05" customHeight="1" spans="1:16">
      <c r="A18" s="3">
        <v>13</v>
      </c>
      <c r="B18" t="s">
        <v>142</v>
      </c>
      <c r="C18" s="13" t="s">
        <v>143</v>
      </c>
      <c r="D18" s="11">
        <v>44735</v>
      </c>
      <c r="E18">
        <v>2022</v>
      </c>
      <c r="F18" s="12">
        <v>2</v>
      </c>
      <c r="G18" s="13" t="s">
        <v>58</v>
      </c>
      <c r="H18" s="13" t="s">
        <v>48</v>
      </c>
      <c r="I18" s="13" t="s">
        <v>49</v>
      </c>
      <c r="J18" s="13" t="s">
        <v>48</v>
      </c>
      <c r="K18" s="13" t="s">
        <v>144</v>
      </c>
      <c r="L18" s="13" t="s">
        <v>145</v>
      </c>
      <c r="M18" s="13" t="s">
        <v>146</v>
      </c>
      <c r="N18" s="13" t="s">
        <v>132</v>
      </c>
      <c r="O18" s="16" t="s">
        <v>147</v>
      </c>
      <c r="P18" s="13" t="s">
        <v>134</v>
      </c>
    </row>
    <row r="19" ht="40.05" customHeight="1" spans="1:16">
      <c r="A19" s="3">
        <v>14</v>
      </c>
      <c r="B19" s="13" t="s">
        <v>148</v>
      </c>
      <c r="C19" s="13" t="s">
        <v>149</v>
      </c>
      <c r="D19" s="14">
        <v>44652</v>
      </c>
      <c r="E19" s="13">
        <v>2022</v>
      </c>
      <c r="F19" s="12">
        <v>2</v>
      </c>
      <c r="G19" s="13" t="s">
        <v>58</v>
      </c>
      <c r="H19" s="13" t="s">
        <v>48</v>
      </c>
      <c r="I19" s="13" t="s">
        <v>49</v>
      </c>
      <c r="J19" s="13" t="s">
        <v>48</v>
      </c>
      <c r="K19" s="13" t="s">
        <v>150</v>
      </c>
      <c r="L19" s="13" t="s">
        <v>151</v>
      </c>
      <c r="M19" s="13" t="s">
        <v>152</v>
      </c>
      <c r="N19" s="13" t="s">
        <v>132</v>
      </c>
      <c r="O19" s="16" t="s">
        <v>153</v>
      </c>
      <c r="P19" s="13" t="s">
        <v>134</v>
      </c>
    </row>
    <row r="20" ht="40.05" customHeight="1" spans="1:16">
      <c r="A20" s="3">
        <v>15</v>
      </c>
      <c r="B20" s="13" t="s">
        <v>154</v>
      </c>
      <c r="C20" s="13" t="s">
        <v>155</v>
      </c>
      <c r="D20" s="14">
        <v>44844</v>
      </c>
      <c r="E20">
        <v>2022</v>
      </c>
      <c r="F20" s="12">
        <v>2</v>
      </c>
      <c r="G20" s="13" t="s">
        <v>58</v>
      </c>
      <c r="H20" s="13" t="s">
        <v>48</v>
      </c>
      <c r="I20" s="13" t="s">
        <v>49</v>
      </c>
      <c r="J20" s="13" t="s">
        <v>48</v>
      </c>
      <c r="K20" s="13" t="s">
        <v>150</v>
      </c>
      <c r="L20" s="13" t="s">
        <v>156</v>
      </c>
      <c r="M20" s="13" t="s">
        <v>157</v>
      </c>
      <c r="N20" s="13" t="s">
        <v>158</v>
      </c>
      <c r="O20" s="16" t="s">
        <v>159</v>
      </c>
      <c r="P20" s="13" t="s">
        <v>134</v>
      </c>
    </row>
    <row r="21" ht="40.05" customHeight="1" spans="1:16">
      <c r="A21" s="3">
        <v>16</v>
      </c>
      <c r="B21" s="13"/>
      <c r="C21" s="13"/>
      <c r="D21" s="13"/>
      <c r="E21" s="13"/>
      <c r="F21" s="12"/>
      <c r="G21" s="13"/>
      <c r="H21" s="13"/>
      <c r="I21" s="13"/>
      <c r="J21" s="13"/>
      <c r="K21" s="13"/>
      <c r="L21" s="13"/>
      <c r="M21" s="13"/>
      <c r="N21" s="13"/>
      <c r="O21" s="13"/>
      <c r="P21" s="13"/>
    </row>
    <row r="22" ht="40.05" customHeight="1" spans="1:16">
      <c r="A22" s="3">
        <v>17</v>
      </c>
      <c r="B22" s="13"/>
      <c r="C22" s="13"/>
      <c r="D22" s="13"/>
      <c r="E22" s="13"/>
      <c r="F22" s="12"/>
      <c r="G22" s="13"/>
      <c r="H22" s="13"/>
      <c r="I22" s="13"/>
      <c r="J22" s="13"/>
      <c r="K22" s="13"/>
      <c r="L22" s="13"/>
      <c r="M22" s="13"/>
      <c r="N22" s="13"/>
      <c r="O22" s="13"/>
      <c r="P22" s="13"/>
    </row>
    <row r="23" ht="40.05" customHeight="1" spans="1:16">
      <c r="A23" s="3">
        <v>18</v>
      </c>
      <c r="B23" s="13"/>
      <c r="C23" s="13"/>
      <c r="D23" s="13"/>
      <c r="E23" s="13"/>
      <c r="F23" s="12"/>
      <c r="G23" s="13"/>
      <c r="H23" s="13"/>
      <c r="I23" s="13"/>
      <c r="J23" s="13"/>
      <c r="K23" s="13"/>
      <c r="L23" s="13"/>
      <c r="M23" s="13"/>
      <c r="N23" s="13"/>
      <c r="O23" s="13"/>
      <c r="P23" s="13"/>
    </row>
    <row r="24" ht="40.05" customHeight="1" spans="1:16">
      <c r="A24" s="3">
        <v>19</v>
      </c>
      <c r="B24" s="13"/>
      <c r="C24" s="13"/>
      <c r="D24" s="13"/>
      <c r="E24" s="13"/>
      <c r="F24" s="12"/>
      <c r="G24" s="13"/>
      <c r="H24" s="13"/>
      <c r="I24" s="13"/>
      <c r="J24" s="13"/>
      <c r="K24" s="13"/>
      <c r="L24" s="13"/>
      <c r="M24" s="13"/>
      <c r="N24" s="13"/>
      <c r="O24" s="13"/>
      <c r="P24" s="13"/>
    </row>
    <row r="25" ht="40.05" customHeight="1" spans="1:16">
      <c r="A25" s="3">
        <v>20</v>
      </c>
      <c r="B25" s="13"/>
      <c r="C25" s="13"/>
      <c r="D25" s="13"/>
      <c r="E25" s="13"/>
      <c r="F25" s="12"/>
      <c r="G25" s="13"/>
      <c r="H25" s="13"/>
      <c r="I25" s="13"/>
      <c r="J25" s="13"/>
      <c r="K25" s="13"/>
      <c r="L25" s="13"/>
      <c r="M25" s="13"/>
      <c r="N25" s="13"/>
      <c r="O25" s="13"/>
      <c r="P25" s="13"/>
    </row>
  </sheetData>
  <dataValidations count="5">
    <dataValidation type="whole" operator="between" showErrorMessage="1" errorTitle="Year" error="Enter a year between 2021 and 2026 as a number." sqref="E19 E11:E16 E21:E25">
      <formula1>2021</formula1>
      <formula2>2026</formula2>
    </dataValidation>
    <dataValidation type="list" allowBlank="1" showErrorMessage="1" errorTitle="Pick from the list" error="Choose one of the listed values (see Vocabularies sheet)." sqref="G6:G8 G11:G25">
      <formula1>Vocabularies!$A$3:$A$7</formula1>
    </dataValidation>
    <dataValidation type="list" allowBlank="1" showErrorMessage="1" errorTitle="Pick from the list" error="Choose one of the listed values (see Vocabularies sheet)." sqref="H11:H25">
      <formula1>Vocabularies!$B$3:$B$7</formula1>
    </dataValidation>
    <dataValidation type="list" allowBlank="1" showErrorMessage="1" errorTitle="Pick from the list" error="Choose one of the listed values (see Vocabularies sheet)." sqref="I11:I25">
      <formula1>Vocabularies!$C$3:$C$6</formula1>
    </dataValidation>
    <dataValidation type="list" allowBlank="1" showErrorMessage="1" errorTitle="Pick from the list" error="Choose one of the listed values (see Vocabularies sheet)." sqref="J11:J25">
      <formula1>Vocabularies!$D$3:$D$7</formula1>
    </dataValidation>
  </dataValidations>
  <hyperlinks>
    <hyperlink ref="O16" r:id="rId1" display="https://supremetoday.ai/doc/judgement/00400070810"/>
    <hyperlink ref="O17" r:id="rId2" display="https://indiankanoon.org/doc/118669928/"/>
    <hyperlink ref="O18" r:id="rId3" display="https://indiankanoon.org/doc/130782180/"/>
    <hyperlink ref="O19" r:id="rId4" display="https://indiankanoon.org/doc/103827261/"/>
    <hyperlink ref="O20" r:id="rId5" display="https://indiankanoon.org/doc/35161620/"/>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7"/>
  <sheetViews>
    <sheetView topLeftCell="A19" workbookViewId="0">
      <selection activeCell="G5" sqref="G5"/>
    </sheetView>
  </sheetViews>
  <sheetFormatPr defaultColWidth="8.78181818181818" defaultRowHeight="14.5" outlineLevelCol="1"/>
  <cols>
    <col min="1" max="1" width="26" customWidth="1"/>
    <col min="2" max="2" width="12" customWidth="1"/>
  </cols>
  <sheetData>
    <row r="1" ht="15.5" spans="1:1">
      <c r="A1" s="1" t="s">
        <v>160</v>
      </c>
    </row>
    <row r="2" spans="1:1">
      <c r="A2" s="4" t="s">
        <v>161</v>
      </c>
    </row>
    <row r="4" spans="1:2">
      <c r="A4" s="2" t="s">
        <v>31</v>
      </c>
      <c r="B4" s="2" t="s">
        <v>162</v>
      </c>
    </row>
    <row r="5" spans="1:2">
      <c r="A5" s="3">
        <v>2021</v>
      </c>
      <c r="B5" s="3">
        <f>COUNTIF(Data!E$6:E$25,A5)</f>
        <v>0</v>
      </c>
    </row>
    <row r="6" spans="1:2">
      <c r="A6" s="3">
        <v>2022</v>
      </c>
      <c r="B6" s="3">
        <f>COUNTIF(Data!E$6:E$25,A6)</f>
        <v>5</v>
      </c>
    </row>
    <row r="7" spans="1:2">
      <c r="A7" s="3">
        <v>2023</v>
      </c>
      <c r="B7" s="3">
        <f>COUNTIF(Data!E$6:E$25,A7)</f>
        <v>4</v>
      </c>
    </row>
    <row r="8" spans="1:2">
      <c r="A8" s="3">
        <v>2024</v>
      </c>
      <c r="B8" s="3">
        <f>COUNTIF(Data!E$6:E$25,A8)</f>
        <v>2</v>
      </c>
    </row>
    <row r="9" spans="1:2">
      <c r="A9" s="3">
        <v>2025</v>
      </c>
      <c r="B9" s="3">
        <f>COUNTIF(Data!E$6:E$25,A9)</f>
        <v>1</v>
      </c>
    </row>
    <row r="10" spans="1:2">
      <c r="A10" s="3">
        <v>2026</v>
      </c>
      <c r="B10" s="3">
        <f>COUNTIF(Data!E$6:E$25,A10)</f>
        <v>3</v>
      </c>
    </row>
    <row r="12" spans="1:2">
      <c r="A12" s="2" t="s">
        <v>35</v>
      </c>
      <c r="B12" s="2" t="s">
        <v>162</v>
      </c>
    </row>
    <row r="13" spans="1:2">
      <c r="A13" s="3" t="s">
        <v>49</v>
      </c>
      <c r="B13" s="3">
        <f>COUNTIF(Data!I$6:I$25,A13)</f>
        <v>12</v>
      </c>
    </row>
    <row r="14" spans="1:2">
      <c r="A14" s="3" t="s">
        <v>89</v>
      </c>
      <c r="B14" s="3">
        <f>COUNTIF(Data!I$6:I$25,A14)</f>
        <v>1</v>
      </c>
    </row>
    <row r="15" spans="1:2">
      <c r="A15" s="3" t="s">
        <v>67</v>
      </c>
      <c r="B15" s="3">
        <f>COUNTIF(Data!I$6:I$25,A15)</f>
        <v>2</v>
      </c>
    </row>
    <row r="16" spans="1:2">
      <c r="A16" s="3" t="s">
        <v>58</v>
      </c>
      <c r="B16" s="3">
        <f>COUNTIF(Data!I$6:I$25,A16)</f>
        <v>0</v>
      </c>
    </row>
    <row r="18" spans="1:2">
      <c r="A18" s="2" t="s">
        <v>34</v>
      </c>
      <c r="B18" s="2" t="s">
        <v>162</v>
      </c>
    </row>
    <row r="19" spans="1:2">
      <c r="A19" s="3" t="s">
        <v>48</v>
      </c>
      <c r="B19" s="3">
        <f>COUNTIF(Data!H$6:H$25,A19)</f>
        <v>15</v>
      </c>
    </row>
    <row r="20" spans="1:2">
      <c r="A20" s="3" t="s">
        <v>163</v>
      </c>
      <c r="B20" s="3">
        <f>COUNTIF(Data!H$6:H$25,A20)</f>
        <v>0</v>
      </c>
    </row>
    <row r="21" spans="1:2">
      <c r="A21" s="3" t="s">
        <v>90</v>
      </c>
      <c r="B21" s="3">
        <f>COUNTIF(Data!H$6:H$25,A21)</f>
        <v>0</v>
      </c>
    </row>
    <row r="22" spans="1:2">
      <c r="A22" s="3" t="s">
        <v>164</v>
      </c>
      <c r="B22" s="3">
        <f>COUNTIF(Data!H$6:H$25,A22)</f>
        <v>0</v>
      </c>
    </row>
    <row r="23" spans="1:2">
      <c r="A23" s="3" t="s">
        <v>58</v>
      </c>
      <c r="B23" s="3">
        <f>COUNTIF(Data!H$6:H$25,A23)</f>
        <v>0</v>
      </c>
    </row>
    <row r="25" spans="1:2">
      <c r="A25" s="2" t="s">
        <v>36</v>
      </c>
      <c r="B25" s="2" t="s">
        <v>162</v>
      </c>
    </row>
    <row r="26" spans="1:2">
      <c r="A26" s="3" t="s">
        <v>48</v>
      </c>
      <c r="B26" s="3">
        <f>COUNTIF(Data!J$6:J$25,A26)</f>
        <v>12</v>
      </c>
    </row>
    <row r="27" spans="1:2">
      <c r="A27" s="3" t="s">
        <v>163</v>
      </c>
      <c r="B27" s="3">
        <f>COUNTIF(Data!J$6:J$25,A27)</f>
        <v>0</v>
      </c>
    </row>
    <row r="28" spans="1:2">
      <c r="A28" s="3" t="s">
        <v>90</v>
      </c>
      <c r="B28" s="3">
        <f>COUNTIF(Data!J$6:J$25,A28)</f>
        <v>1</v>
      </c>
    </row>
    <row r="29" spans="1:2">
      <c r="A29" s="3" t="s">
        <v>164</v>
      </c>
      <c r="B29" s="3">
        <f>COUNTIF(Data!J$6:J$25,A29)</f>
        <v>0</v>
      </c>
    </row>
    <row r="30" spans="1:2">
      <c r="A30" s="3" t="s">
        <v>68</v>
      </c>
      <c r="B30" s="3">
        <f>COUNTIF(Data!J$6:J$25,A30)</f>
        <v>2</v>
      </c>
    </row>
    <row r="32" spans="1:2">
      <c r="A32" s="2" t="s">
        <v>33</v>
      </c>
      <c r="B32" s="2" t="s">
        <v>162</v>
      </c>
    </row>
    <row r="33" spans="1:2">
      <c r="A33" s="3" t="s">
        <v>111</v>
      </c>
      <c r="B33" s="3">
        <f>COUNTIF(Data!G$6:G$25,A33)</f>
        <v>1</v>
      </c>
    </row>
    <row r="34" spans="1:2">
      <c r="A34" s="3" t="s">
        <v>165</v>
      </c>
      <c r="B34" s="3">
        <f>COUNTIF(Data!G$6:G$25,A34)</f>
        <v>0</v>
      </c>
    </row>
    <row r="35" spans="1:2">
      <c r="A35" s="3" t="s">
        <v>47</v>
      </c>
      <c r="B35" s="3">
        <f>COUNTIF(Data!G$6:G$25,A35)</f>
        <v>0</v>
      </c>
    </row>
    <row r="36" spans="1:2">
      <c r="A36" s="3" t="s">
        <v>166</v>
      </c>
      <c r="B36" s="3">
        <f>COUNTIF(Data!G$6:G$25,A36)</f>
        <v>0</v>
      </c>
    </row>
    <row r="37" spans="1:2">
      <c r="A37" s="3" t="s">
        <v>58</v>
      </c>
      <c r="B37" s="3">
        <f>COUNTIF(Data!G$6:G$25,A37)</f>
        <v>14</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
  <sheetViews>
    <sheetView workbookViewId="0">
      <selection activeCell="A7" sqref="A7"/>
    </sheetView>
  </sheetViews>
  <sheetFormatPr defaultColWidth="8.78181818181818" defaultRowHeight="14.5" outlineLevelRow="6" outlineLevelCol="3"/>
  <cols>
    <col min="1" max="4" width="26" customWidth="1"/>
  </cols>
  <sheetData>
    <row r="1" ht="15.5" spans="1:1">
      <c r="A1" s="1" t="s">
        <v>167</v>
      </c>
    </row>
    <row r="2" spans="1:4">
      <c r="A2" s="2" t="s">
        <v>33</v>
      </c>
      <c r="B2" s="2" t="s">
        <v>34</v>
      </c>
      <c r="C2" s="2" t="s">
        <v>35</v>
      </c>
      <c r="D2" s="2" t="s">
        <v>36</v>
      </c>
    </row>
    <row r="3" spans="1:4">
      <c r="A3" s="3" t="s">
        <v>111</v>
      </c>
      <c r="B3" s="3" t="s">
        <v>48</v>
      </c>
      <c r="C3" s="3" t="s">
        <v>49</v>
      </c>
      <c r="D3" s="3" t="s">
        <v>48</v>
      </c>
    </row>
    <row r="4" spans="1:4">
      <c r="A4" s="3" t="s">
        <v>165</v>
      </c>
      <c r="B4" s="3" t="s">
        <v>163</v>
      </c>
      <c r="C4" s="3" t="s">
        <v>89</v>
      </c>
      <c r="D4" s="3" t="s">
        <v>163</v>
      </c>
    </row>
    <row r="5" spans="1:4">
      <c r="A5" s="3" t="s">
        <v>47</v>
      </c>
      <c r="B5" s="3" t="s">
        <v>90</v>
      </c>
      <c r="C5" s="3" t="s">
        <v>67</v>
      </c>
      <c r="D5" s="3" t="s">
        <v>90</v>
      </c>
    </row>
    <row r="6" spans="1:4">
      <c r="A6" s="3" t="s">
        <v>166</v>
      </c>
      <c r="B6" s="3" t="s">
        <v>164</v>
      </c>
      <c r="C6" s="3" t="s">
        <v>58</v>
      </c>
      <c r="D6" s="3" t="s">
        <v>164</v>
      </c>
    </row>
    <row r="7" spans="1:4">
      <c r="A7" s="3" t="s">
        <v>58</v>
      </c>
      <c r="B7" s="3" t="s">
        <v>58</v>
      </c>
      <c r="D7" s="3" t="s">
        <v>68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Read Me</vt:lpstr>
      <vt:lpstr>Team</vt:lpstr>
      <vt:lpstr>Data</vt:lpstr>
      <vt:lpstr>Chart counts</vt:lpstr>
      <vt:lpstr>Vocabularies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Mahi Chauhan</cp:lastModifiedBy>
  <dcterms:created xsi:type="dcterms:W3CDTF">2026-09-16T11:13:00Z</dcterms:created>
  <dcterms:modified xsi:type="dcterms:W3CDTF">2026-10-30T13:04:33Z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AF7DF33A60B04646B0FC0CF34F13947D_12</vt:lpwstr>
  </property>
  <property fmtid="{D5CDD505-2E9C-101B-9397-08002B2CF9AE}" pid="3" name="KSOProductBuildVer">
    <vt:lpwstr>2057-12.2.0.23206</vt:lpwstr>
  </property>
</Properties>
</file>